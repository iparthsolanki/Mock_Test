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a3137cd8b69ff6/Desktop/Moke_Exam/Excel/"/>
    </mc:Choice>
  </mc:AlternateContent>
  <xr:revisionPtr revIDLastSave="118" documentId="8_{FA6AEE0D-DF30-4C59-8DB0-D40EC35C9461}" xr6:coauthVersionLast="47" xr6:coauthVersionMax="47" xr10:uidLastSave="{0D4CF3E3-D8EB-43D6-B2DC-08249DEA0160}"/>
  <bookViews>
    <workbookView xWindow="-108" yWindow="-108" windowWidth="23256" windowHeight="12456" activeTab="3" xr2:uid="{82F6C97C-055F-4AD4-81C1-090F8751E384}"/>
  </bookViews>
  <sheets>
    <sheet name="Row" sheetId="1" r:id="rId1"/>
    <sheet name="Lookup" sheetId="2" r:id="rId2"/>
    <sheet name="Clean" sheetId="3" r:id="rId3"/>
    <sheet name="Summary" sheetId="4" r:id="rId4"/>
  </sheet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3" l="1"/>
  <c r="L8" i="3"/>
  <c r="L9" i="3"/>
  <c r="L10" i="3"/>
  <c r="L11" i="3"/>
  <c r="L12" i="3"/>
  <c r="L13" i="3"/>
  <c r="L14" i="3"/>
  <c r="L15" i="3"/>
  <c r="L16" i="3"/>
  <c r="L17" i="3"/>
  <c r="L6" i="3"/>
  <c r="K7" i="3"/>
  <c r="K8" i="3"/>
  <c r="K9" i="3"/>
  <c r="K10" i="3"/>
  <c r="K11" i="3"/>
  <c r="K12" i="3"/>
  <c r="K13" i="3"/>
  <c r="K14" i="3"/>
  <c r="K15" i="3"/>
  <c r="K16" i="3"/>
  <c r="K17" i="3"/>
  <c r="K6" i="3"/>
</calcChain>
</file>

<file path=xl/sharedStrings.xml><?xml version="1.0" encoding="utf-8"?>
<sst xmlns="http://schemas.openxmlformats.org/spreadsheetml/2006/main" count="119" uniqueCount="31">
  <si>
    <t>record_id</t>
  </si>
  <si>
    <t>month</t>
  </si>
  <si>
    <t>route_id</t>
  </si>
  <si>
    <t>hub</t>
  </si>
  <si>
    <t>promised_days</t>
  </si>
  <si>
    <t>actual_days</t>
  </si>
  <si>
    <t>Jan</t>
  </si>
  <si>
    <t>R1</t>
  </si>
  <si>
    <t>Mumbai</t>
  </si>
  <si>
    <t>R2</t>
  </si>
  <si>
    <t>Chennai</t>
  </si>
  <si>
    <t>R3</t>
  </si>
  <si>
    <t>Delhi</t>
  </si>
  <si>
    <t>R4</t>
  </si>
  <si>
    <t>Feb</t>
  </si>
  <si>
    <t>Mar</t>
  </si>
  <si>
    <t>route</t>
  </si>
  <si>
    <t>service_type</t>
  </si>
  <si>
    <t>Metro Link</t>
  </si>
  <si>
    <t>Express</t>
  </si>
  <si>
    <t>City Dash</t>
  </si>
  <si>
    <t>Highway Freight</t>
  </si>
  <si>
    <t>Standard</t>
  </si>
  <si>
    <t>Rural Feeder</t>
  </si>
  <si>
    <t>delay_days</t>
  </si>
  <si>
    <t>Show the before row count (13) and after row count (12)</t>
  </si>
  <si>
    <t>Hub</t>
  </si>
  <si>
    <t>Row Labels</t>
  </si>
  <si>
    <t>Grand Total</t>
  </si>
  <si>
    <t>Column Labels</t>
  </si>
  <si>
    <t>Sum of delay_days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</si>
</sst>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[Analysis.xlsx]Summary!PivotTable1</c:name>
    <c:fmtId val="0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Summary!$E$4:$E$5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Summary!$D$6:$D$8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Summary!$E$6:$E$8</c:f>
              <c:numCache>
                <c:formatCode>General</c:formatCode>
                <c:ptCount val="2"/>
                <c:pt idx="0">
                  <c:v>1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E-4B2D-83B6-6A075B367402}"/>
            </c:ext>
          </c:extLst>
        </c:ser>
        <c:ser>
          <c:idx val="1"/>
          <c:order val="1"/>
          <c:tx>
            <c:strRef>
              <c:f>Summary!$F$4:$F$5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Summary!$D$6:$D$8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Summary!$F$6:$F$8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DE-4B2D-83B6-6A075B367402}"/>
            </c:ext>
          </c:extLst>
        </c:ser>
        <c:ser>
          <c:idx val="2"/>
          <c:order val="2"/>
          <c:tx>
            <c:strRef>
              <c:f>Summary!$G$4:$G$5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Summary!$D$6:$D$8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Summary!$G$6:$G$8</c:f>
              <c:numCache>
                <c:formatCode>General</c:formatCode>
                <c:ptCount val="2"/>
                <c:pt idx="0">
                  <c:v>8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DE-4B2D-83B6-6A075B3674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941936208"/>
        <c:axId val="1748724688"/>
      </c:barChart>
      <c:catAx>
        <c:axId val="1941936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Service_Type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724688"/>
        <c:crosses val="autoZero"/>
        <c:auto val="1"/>
        <c:lblAlgn val="ctr"/>
        <c:lblOffset val="100"/>
        <c:noMultiLvlLbl val="0"/>
      </c:catAx>
      <c:valAx>
        <c:axId val="174872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Delay_Days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93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8</xdr:row>
      <xdr:rowOff>99060</xdr:rowOff>
    </xdr:from>
    <xdr:to>
      <xdr:col>9</xdr:col>
      <xdr:colOff>0</xdr:colOff>
      <xdr:row>23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08F985-74EB-395A-ECC1-5DB6ABC63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solanki" refreshedDate="46291.617794560188" createdVersion="8" refreshedVersion="8" minRefreshableVersion="3" recordCount="12" xr:uid="{4092F432-8CA1-4231-94DE-9C8315E0AB66}">
  <cacheSource type="worksheet">
    <worksheetSource ref="E5:L17" sheet="Clean"/>
  </cacheSource>
  <cacheFields count="8">
    <cacheField name="record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route_id" numFmtId="0">
      <sharedItems/>
    </cacheField>
    <cacheField name="hub" numFmtId="0">
      <sharedItems/>
    </cacheField>
    <cacheField name="promised_days" numFmtId="0">
      <sharedItems containsSemiMixedTypes="0" containsString="0" containsNumber="1" containsInteger="1" minValue="2" maxValue="6"/>
    </cacheField>
    <cacheField name="actual_days" numFmtId="0">
      <sharedItems containsSemiMixedTypes="0" containsString="0" containsNumber="1" containsInteger="1" minValue="2" maxValue="15"/>
    </cacheField>
    <cacheField name="service_type" numFmtId="0">
      <sharedItems count="2">
        <s v="Express"/>
        <s v="Standard"/>
      </sharedItems>
    </cacheField>
    <cacheField name="delay_days" numFmtId="0">
      <sharedItems containsSemiMixedTypes="0" containsString="0" containsNumber="1" containsInteger="1" minValue="0" maxValue="9" count="8">
        <n v="0"/>
        <n v="1"/>
        <n v="3"/>
        <n v="4"/>
        <n v="5"/>
        <n v="6"/>
        <n v="2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R1"/>
    <s v="Mumbai"/>
    <n v="2"/>
    <n v="2"/>
    <x v="0"/>
    <x v="0"/>
  </r>
  <r>
    <n v="2"/>
    <x v="0"/>
    <s v="R2"/>
    <s v="Chennai"/>
    <n v="3"/>
    <n v="4"/>
    <x v="0"/>
    <x v="1"/>
  </r>
  <r>
    <n v="3"/>
    <x v="0"/>
    <s v="R3"/>
    <s v="Delhi"/>
    <n v="5"/>
    <n v="8"/>
    <x v="1"/>
    <x v="2"/>
  </r>
  <r>
    <n v="4"/>
    <x v="0"/>
    <s v="R4"/>
    <s v="Mumbai"/>
    <n v="6"/>
    <n v="10"/>
    <x v="1"/>
    <x v="3"/>
  </r>
  <r>
    <n v="5"/>
    <x v="1"/>
    <s v="R1"/>
    <s v="Chennai"/>
    <n v="2"/>
    <n v="5"/>
    <x v="0"/>
    <x v="2"/>
  </r>
  <r>
    <n v="6"/>
    <x v="1"/>
    <s v="R2"/>
    <s v="Delhi"/>
    <n v="3"/>
    <n v="3"/>
    <x v="0"/>
    <x v="0"/>
  </r>
  <r>
    <n v="7"/>
    <x v="1"/>
    <s v="R3"/>
    <s v="Delhi"/>
    <n v="5"/>
    <n v="10"/>
    <x v="1"/>
    <x v="4"/>
  </r>
  <r>
    <n v="8"/>
    <x v="1"/>
    <s v="R4"/>
    <s v="Chennai"/>
    <n v="6"/>
    <n v="7"/>
    <x v="1"/>
    <x v="1"/>
  </r>
  <r>
    <n v="9"/>
    <x v="2"/>
    <s v="R1"/>
    <s v="Delhi"/>
    <n v="2"/>
    <n v="8"/>
    <x v="0"/>
    <x v="5"/>
  </r>
  <r>
    <n v="10"/>
    <x v="2"/>
    <s v="R2"/>
    <s v="Mumbai"/>
    <n v="3"/>
    <n v="5"/>
    <x v="0"/>
    <x v="6"/>
  </r>
  <r>
    <n v="11"/>
    <x v="2"/>
    <s v="R3"/>
    <s v="Chennai"/>
    <n v="5"/>
    <n v="5"/>
    <x v="1"/>
    <x v="0"/>
  </r>
  <r>
    <n v="12"/>
    <x v="2"/>
    <s v="R4"/>
    <s v="Mumbai"/>
    <n v="6"/>
    <n v="15"/>
    <x v="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A2040E-9963-414B-AC7D-88F4ED16906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D4:H8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>
      <items count="9">
        <item x="0"/>
        <item x="1"/>
        <item x="6"/>
        <item x="2"/>
        <item x="3"/>
        <item x="4"/>
        <item x="5"/>
        <item x="7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delay_days" fld="7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296E-3957-49C0-9C9C-CE3D7D0743D2}">
  <dimension ref="A1:F14"/>
  <sheetViews>
    <sheetView workbookViewId="0">
      <selection activeCell="H21" sqref="H2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>
        <v>2</v>
      </c>
      <c r="F2">
        <v>2</v>
      </c>
    </row>
    <row r="3" spans="1:6" x14ac:dyDescent="0.3">
      <c r="A3">
        <v>2</v>
      </c>
      <c r="B3" t="s">
        <v>6</v>
      </c>
      <c r="C3" t="s">
        <v>9</v>
      </c>
      <c r="D3" t="s">
        <v>10</v>
      </c>
      <c r="E3">
        <v>3</v>
      </c>
      <c r="F3">
        <v>4</v>
      </c>
    </row>
    <row r="4" spans="1:6" x14ac:dyDescent="0.3">
      <c r="A4">
        <v>3</v>
      </c>
      <c r="B4" t="s">
        <v>6</v>
      </c>
      <c r="C4" t="s">
        <v>11</v>
      </c>
      <c r="D4" t="s">
        <v>12</v>
      </c>
      <c r="E4">
        <v>5</v>
      </c>
      <c r="F4">
        <v>8</v>
      </c>
    </row>
    <row r="5" spans="1:6" x14ac:dyDescent="0.3">
      <c r="A5">
        <v>4</v>
      </c>
      <c r="B5" t="s">
        <v>6</v>
      </c>
      <c r="C5" t="s">
        <v>13</v>
      </c>
      <c r="D5" t="s">
        <v>8</v>
      </c>
      <c r="E5">
        <v>6</v>
      </c>
      <c r="F5">
        <v>10</v>
      </c>
    </row>
    <row r="6" spans="1:6" x14ac:dyDescent="0.3">
      <c r="A6">
        <v>5</v>
      </c>
      <c r="B6" t="s">
        <v>14</v>
      </c>
      <c r="C6" t="s">
        <v>7</v>
      </c>
      <c r="D6" t="s">
        <v>10</v>
      </c>
      <c r="E6">
        <v>2</v>
      </c>
      <c r="F6">
        <v>5</v>
      </c>
    </row>
    <row r="7" spans="1:6" x14ac:dyDescent="0.3">
      <c r="A7">
        <v>6</v>
      </c>
      <c r="B7" t="s">
        <v>14</v>
      </c>
      <c r="C7" t="s">
        <v>9</v>
      </c>
      <c r="D7" t="s">
        <v>12</v>
      </c>
      <c r="E7">
        <v>3</v>
      </c>
      <c r="F7">
        <v>3</v>
      </c>
    </row>
    <row r="8" spans="1:6" x14ac:dyDescent="0.3">
      <c r="A8">
        <v>7</v>
      </c>
      <c r="B8" t="s">
        <v>14</v>
      </c>
      <c r="C8" t="s">
        <v>11</v>
      </c>
      <c r="D8" t="s">
        <v>12</v>
      </c>
      <c r="E8">
        <v>5</v>
      </c>
      <c r="F8">
        <v>10</v>
      </c>
    </row>
    <row r="9" spans="1:6" x14ac:dyDescent="0.3">
      <c r="A9">
        <v>8</v>
      </c>
      <c r="B9" t="s">
        <v>14</v>
      </c>
      <c r="C9" t="s">
        <v>13</v>
      </c>
      <c r="D9" t="s">
        <v>10</v>
      </c>
      <c r="E9">
        <v>6</v>
      </c>
      <c r="F9">
        <v>7</v>
      </c>
    </row>
    <row r="10" spans="1:6" x14ac:dyDescent="0.3">
      <c r="A10">
        <v>9</v>
      </c>
      <c r="B10" t="s">
        <v>15</v>
      </c>
      <c r="C10" t="s">
        <v>7</v>
      </c>
      <c r="D10" t="s">
        <v>12</v>
      </c>
      <c r="E10">
        <v>2</v>
      </c>
      <c r="F10">
        <v>8</v>
      </c>
    </row>
    <row r="11" spans="1:6" x14ac:dyDescent="0.3">
      <c r="A11">
        <v>10</v>
      </c>
      <c r="B11" t="s">
        <v>15</v>
      </c>
      <c r="C11" t="s">
        <v>9</v>
      </c>
      <c r="D11" t="s">
        <v>8</v>
      </c>
      <c r="E11">
        <v>3</v>
      </c>
      <c r="F11">
        <v>5</v>
      </c>
    </row>
    <row r="12" spans="1:6" x14ac:dyDescent="0.3">
      <c r="A12">
        <v>11</v>
      </c>
      <c r="B12" t="s">
        <v>15</v>
      </c>
      <c r="C12" t="s">
        <v>11</v>
      </c>
      <c r="D12" t="s">
        <v>10</v>
      </c>
      <c r="E12">
        <v>5</v>
      </c>
      <c r="F12">
        <v>5</v>
      </c>
    </row>
    <row r="13" spans="1:6" x14ac:dyDescent="0.3">
      <c r="A13">
        <v>12</v>
      </c>
      <c r="B13" t="s">
        <v>15</v>
      </c>
      <c r="C13" t="s">
        <v>13</v>
      </c>
      <c r="D13" t="s">
        <v>8</v>
      </c>
      <c r="E13">
        <v>6</v>
      </c>
      <c r="F13">
        <v>15</v>
      </c>
    </row>
    <row r="14" spans="1:6" x14ac:dyDescent="0.3">
      <c r="A14">
        <v>12</v>
      </c>
      <c r="B14" t="s">
        <v>15</v>
      </c>
      <c r="C14" t="s">
        <v>13</v>
      </c>
      <c r="D14" t="s">
        <v>8</v>
      </c>
      <c r="E14">
        <v>6</v>
      </c>
      <c r="F14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38D44-FD4A-45F9-B569-47457B83165C}">
  <dimension ref="A1:C5"/>
  <sheetViews>
    <sheetView workbookViewId="0">
      <selection activeCell="C4" sqref="A1:C5"/>
    </sheetView>
  </sheetViews>
  <sheetFormatPr defaultRowHeight="14.4" x14ac:dyDescent="0.3"/>
  <cols>
    <col min="1" max="1" width="7.88671875" bestFit="1" customWidth="1"/>
    <col min="2" max="2" width="14" bestFit="1" customWidth="1"/>
    <col min="3" max="3" width="11.21875" bestFit="1" customWidth="1"/>
  </cols>
  <sheetData>
    <row r="1" spans="1:3" x14ac:dyDescent="0.3">
      <c r="A1" t="s">
        <v>2</v>
      </c>
      <c r="B1" t="s">
        <v>16</v>
      </c>
      <c r="C1" t="s">
        <v>17</v>
      </c>
    </row>
    <row r="2" spans="1:3" x14ac:dyDescent="0.3">
      <c r="A2" t="s">
        <v>7</v>
      </c>
      <c r="B2" t="s">
        <v>18</v>
      </c>
      <c r="C2" t="s">
        <v>19</v>
      </c>
    </row>
    <row r="3" spans="1:3" x14ac:dyDescent="0.3">
      <c r="A3" t="s">
        <v>9</v>
      </c>
      <c r="B3" t="s">
        <v>20</v>
      </c>
      <c r="C3" t="s">
        <v>19</v>
      </c>
    </row>
    <row r="4" spans="1:3" x14ac:dyDescent="0.3">
      <c r="A4" t="s">
        <v>11</v>
      </c>
      <c r="B4" t="s">
        <v>21</v>
      </c>
      <c r="C4" t="s">
        <v>22</v>
      </c>
    </row>
    <row r="5" spans="1:3" x14ac:dyDescent="0.3">
      <c r="A5" t="s">
        <v>13</v>
      </c>
      <c r="B5" t="s">
        <v>23</v>
      </c>
      <c r="C5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DEEE-7784-49A8-A62D-ED63BEF935D0}">
  <dimension ref="E1:L17"/>
  <sheetViews>
    <sheetView workbookViewId="0">
      <selection activeCell="L5" sqref="L5"/>
    </sheetView>
  </sheetViews>
  <sheetFormatPr defaultRowHeight="14.4" x14ac:dyDescent="0.3"/>
  <cols>
    <col min="5" max="5" width="8.77734375" bestFit="1" customWidth="1"/>
    <col min="6" max="6" width="6.33203125" bestFit="1" customWidth="1"/>
    <col min="7" max="7" width="7.88671875" bestFit="1" customWidth="1"/>
    <col min="8" max="8" width="7.6640625" bestFit="1" customWidth="1"/>
    <col min="9" max="9" width="13.33203125" bestFit="1" customWidth="1"/>
    <col min="10" max="10" width="10.6640625" bestFit="1" customWidth="1"/>
    <col min="11" max="11" width="11.21875" bestFit="1" customWidth="1"/>
  </cols>
  <sheetData>
    <row r="1" spans="5:12" x14ac:dyDescent="0.3">
      <c r="E1" s="2" t="s">
        <v>25</v>
      </c>
      <c r="F1" s="1"/>
      <c r="G1" s="1"/>
      <c r="H1" s="1"/>
      <c r="I1" s="1"/>
      <c r="J1" s="1"/>
      <c r="K1" s="1"/>
      <c r="L1" s="1"/>
    </row>
    <row r="2" spans="5:12" x14ac:dyDescent="0.3">
      <c r="E2" s="1"/>
      <c r="F2" s="1"/>
      <c r="G2" s="1"/>
      <c r="H2" s="1"/>
      <c r="I2" s="1"/>
      <c r="J2" s="1"/>
      <c r="K2" s="1"/>
      <c r="L2" s="1"/>
    </row>
    <row r="3" spans="5:12" x14ac:dyDescent="0.3">
      <c r="E3" s="1"/>
      <c r="F3" s="1"/>
      <c r="G3" s="1"/>
      <c r="H3" s="1"/>
      <c r="I3" s="1"/>
      <c r="J3" s="1"/>
      <c r="K3" s="1"/>
      <c r="L3" s="1"/>
    </row>
    <row r="5" spans="5:12" x14ac:dyDescent="0.3">
      <c r="E5" t="s">
        <v>0</v>
      </c>
      <c r="F5" t="s">
        <v>1</v>
      </c>
      <c r="G5" t="s">
        <v>2</v>
      </c>
      <c r="H5" t="s">
        <v>3</v>
      </c>
      <c r="I5" t="s">
        <v>4</v>
      </c>
      <c r="J5" t="s">
        <v>5</v>
      </c>
      <c r="K5" t="s">
        <v>17</v>
      </c>
      <c r="L5" t="s">
        <v>24</v>
      </c>
    </row>
    <row r="6" spans="5:12" x14ac:dyDescent="0.3">
      <c r="E6">
        <v>1</v>
      </c>
      <c r="F6" t="s">
        <v>6</v>
      </c>
      <c r="G6" t="s">
        <v>7</v>
      </c>
      <c r="H6" t="s">
        <v>8</v>
      </c>
      <c r="I6">
        <v>2</v>
      </c>
      <c r="J6">
        <v>2</v>
      </c>
      <c r="K6" t="str">
        <f>_xlfn.XLOOKUP(Clean!G6,Lookup!A:A,Lookup!C:C,FALSE)</f>
        <v>Express</v>
      </c>
      <c r="L6">
        <f>MAX(J6-I6,0)</f>
        <v>0</v>
      </c>
    </row>
    <row r="7" spans="5:12" x14ac:dyDescent="0.3">
      <c r="E7">
        <v>2</v>
      </c>
      <c r="F7" t="s">
        <v>6</v>
      </c>
      <c r="G7" t="s">
        <v>9</v>
      </c>
      <c r="H7" t="s">
        <v>10</v>
      </c>
      <c r="I7">
        <v>3</v>
      </c>
      <c r="J7">
        <v>4</v>
      </c>
      <c r="K7" t="str">
        <f>_xlfn.XLOOKUP(Clean!G7,Lookup!A:A,Lookup!C:C,FALSE)</f>
        <v>Express</v>
      </c>
      <c r="L7">
        <f t="shared" ref="L7:L17" si="0">MAX(J7-I7,0)</f>
        <v>1</v>
      </c>
    </row>
    <row r="8" spans="5:12" x14ac:dyDescent="0.3">
      <c r="E8">
        <v>3</v>
      </c>
      <c r="F8" t="s">
        <v>6</v>
      </c>
      <c r="G8" t="s">
        <v>11</v>
      </c>
      <c r="H8" t="s">
        <v>12</v>
      </c>
      <c r="I8">
        <v>5</v>
      </c>
      <c r="J8">
        <v>8</v>
      </c>
      <c r="K8" t="str">
        <f>_xlfn.XLOOKUP(Clean!G8,Lookup!A:A,Lookup!C:C,FALSE)</f>
        <v>Standard</v>
      </c>
      <c r="L8">
        <f t="shared" si="0"/>
        <v>3</v>
      </c>
    </row>
    <row r="9" spans="5:12" x14ac:dyDescent="0.3">
      <c r="E9">
        <v>4</v>
      </c>
      <c r="F9" t="s">
        <v>6</v>
      </c>
      <c r="G9" t="s">
        <v>13</v>
      </c>
      <c r="H9" t="s">
        <v>8</v>
      </c>
      <c r="I9">
        <v>6</v>
      </c>
      <c r="J9">
        <v>10</v>
      </c>
      <c r="K9" t="str">
        <f>_xlfn.XLOOKUP(Clean!G9,Lookup!A:A,Lookup!C:C,FALSE)</f>
        <v>Standard</v>
      </c>
      <c r="L9">
        <f t="shared" si="0"/>
        <v>4</v>
      </c>
    </row>
    <row r="10" spans="5:12" x14ac:dyDescent="0.3">
      <c r="E10">
        <v>5</v>
      </c>
      <c r="F10" t="s">
        <v>14</v>
      </c>
      <c r="G10" t="s">
        <v>7</v>
      </c>
      <c r="H10" t="s">
        <v>10</v>
      </c>
      <c r="I10">
        <v>2</v>
      </c>
      <c r="J10">
        <v>5</v>
      </c>
      <c r="K10" t="str">
        <f>_xlfn.XLOOKUP(Clean!G10,Lookup!A:A,Lookup!C:C,FALSE)</f>
        <v>Express</v>
      </c>
      <c r="L10">
        <f t="shared" si="0"/>
        <v>3</v>
      </c>
    </row>
    <row r="11" spans="5:12" x14ac:dyDescent="0.3">
      <c r="E11">
        <v>6</v>
      </c>
      <c r="F11" t="s">
        <v>14</v>
      </c>
      <c r="G11" t="s">
        <v>9</v>
      </c>
      <c r="H11" t="s">
        <v>12</v>
      </c>
      <c r="I11">
        <v>3</v>
      </c>
      <c r="J11">
        <v>3</v>
      </c>
      <c r="K11" t="str">
        <f>_xlfn.XLOOKUP(Clean!G11,Lookup!A:A,Lookup!C:C,FALSE)</f>
        <v>Express</v>
      </c>
      <c r="L11">
        <f t="shared" si="0"/>
        <v>0</v>
      </c>
    </row>
    <row r="12" spans="5:12" x14ac:dyDescent="0.3">
      <c r="E12">
        <v>7</v>
      </c>
      <c r="F12" t="s">
        <v>14</v>
      </c>
      <c r="G12" t="s">
        <v>11</v>
      </c>
      <c r="H12" t="s">
        <v>12</v>
      </c>
      <c r="I12">
        <v>5</v>
      </c>
      <c r="J12">
        <v>10</v>
      </c>
      <c r="K12" t="str">
        <f>_xlfn.XLOOKUP(Clean!G12,Lookup!A:A,Lookup!C:C,FALSE)</f>
        <v>Standard</v>
      </c>
      <c r="L12">
        <f t="shared" si="0"/>
        <v>5</v>
      </c>
    </row>
    <row r="13" spans="5:12" x14ac:dyDescent="0.3">
      <c r="E13">
        <v>8</v>
      </c>
      <c r="F13" t="s">
        <v>14</v>
      </c>
      <c r="G13" t="s">
        <v>13</v>
      </c>
      <c r="H13" t="s">
        <v>10</v>
      </c>
      <c r="I13">
        <v>6</v>
      </c>
      <c r="J13">
        <v>7</v>
      </c>
      <c r="K13" t="str">
        <f>_xlfn.XLOOKUP(Clean!G13,Lookup!A:A,Lookup!C:C,FALSE)</f>
        <v>Standard</v>
      </c>
      <c r="L13">
        <f t="shared" si="0"/>
        <v>1</v>
      </c>
    </row>
    <row r="14" spans="5:12" x14ac:dyDescent="0.3">
      <c r="E14">
        <v>9</v>
      </c>
      <c r="F14" t="s">
        <v>15</v>
      </c>
      <c r="G14" t="s">
        <v>7</v>
      </c>
      <c r="H14" t="s">
        <v>12</v>
      </c>
      <c r="I14">
        <v>2</v>
      </c>
      <c r="J14">
        <v>8</v>
      </c>
      <c r="K14" t="str">
        <f>_xlfn.XLOOKUP(Clean!G14,Lookup!A:A,Lookup!C:C,FALSE)</f>
        <v>Express</v>
      </c>
      <c r="L14">
        <f t="shared" si="0"/>
        <v>6</v>
      </c>
    </row>
    <row r="15" spans="5:12" x14ac:dyDescent="0.3">
      <c r="E15">
        <v>10</v>
      </c>
      <c r="F15" t="s">
        <v>15</v>
      </c>
      <c r="G15" t="s">
        <v>9</v>
      </c>
      <c r="H15" t="s">
        <v>8</v>
      </c>
      <c r="I15">
        <v>3</v>
      </c>
      <c r="J15">
        <v>5</v>
      </c>
      <c r="K15" t="str">
        <f>_xlfn.XLOOKUP(Clean!G15,Lookup!A:A,Lookup!C:C,FALSE)</f>
        <v>Express</v>
      </c>
      <c r="L15">
        <f t="shared" si="0"/>
        <v>2</v>
      </c>
    </row>
    <row r="16" spans="5:12" x14ac:dyDescent="0.3">
      <c r="E16">
        <v>11</v>
      </c>
      <c r="F16" t="s">
        <v>15</v>
      </c>
      <c r="G16" t="s">
        <v>11</v>
      </c>
      <c r="H16" t="s">
        <v>10</v>
      </c>
      <c r="I16">
        <v>5</v>
      </c>
      <c r="J16">
        <v>5</v>
      </c>
      <c r="K16" t="str">
        <f>_xlfn.XLOOKUP(Clean!G16,Lookup!A:A,Lookup!C:C,FALSE)</f>
        <v>Standard</v>
      </c>
      <c r="L16">
        <f t="shared" si="0"/>
        <v>0</v>
      </c>
    </row>
    <row r="17" spans="5:12" x14ac:dyDescent="0.3">
      <c r="E17">
        <v>12</v>
      </c>
      <c r="F17" t="s">
        <v>15</v>
      </c>
      <c r="G17" t="s">
        <v>13</v>
      </c>
      <c r="H17" t="s">
        <v>8</v>
      </c>
      <c r="I17">
        <v>6</v>
      </c>
      <c r="J17">
        <v>15</v>
      </c>
      <c r="K17" t="str">
        <f>_xlfn.XLOOKUP(Clean!G17,Lookup!A:A,Lookup!C:C,FALSE)</f>
        <v>Standard</v>
      </c>
      <c r="L17">
        <f t="shared" si="0"/>
        <v>9</v>
      </c>
    </row>
  </sheetData>
  <mergeCells count="1">
    <mergeCell ref="E1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61A2-3BF8-4990-8AD9-16298C57AE2F}">
  <dimension ref="A1:H8"/>
  <sheetViews>
    <sheetView tabSelected="1" workbookViewId="0">
      <selection activeCell="K12" sqref="K12"/>
    </sheetView>
  </sheetViews>
  <sheetFormatPr defaultRowHeight="14.4" x14ac:dyDescent="0.3"/>
  <cols>
    <col min="4" max="4" width="17" bestFit="1" customWidth="1"/>
    <col min="5" max="5" width="15.5546875" bestFit="1" customWidth="1"/>
    <col min="6" max="6" width="4" bestFit="1" customWidth="1"/>
    <col min="7" max="7" width="4.44140625" bestFit="1" customWidth="1"/>
    <col min="8" max="8" width="10.77734375" bestFit="1" customWidth="1"/>
  </cols>
  <sheetData>
    <row r="1" spans="1:8" x14ac:dyDescent="0.3">
      <c r="A1" t="s">
        <v>26</v>
      </c>
    </row>
    <row r="2" spans="1:8" x14ac:dyDescent="0.3">
      <c r="A2" t="s">
        <v>10</v>
      </c>
    </row>
    <row r="3" spans="1:8" x14ac:dyDescent="0.3">
      <c r="A3" t="s">
        <v>12</v>
      </c>
    </row>
    <row r="4" spans="1:8" x14ac:dyDescent="0.3">
      <c r="A4" t="s">
        <v>8</v>
      </c>
      <c r="D4" s="3" t="s">
        <v>30</v>
      </c>
      <c r="E4" s="3" t="s">
        <v>29</v>
      </c>
    </row>
    <row r="5" spans="1:8" x14ac:dyDescent="0.3">
      <c r="D5" s="3" t="s">
        <v>27</v>
      </c>
      <c r="E5" t="s">
        <v>6</v>
      </c>
      <c r="F5" t="s">
        <v>14</v>
      </c>
      <c r="G5" t="s">
        <v>15</v>
      </c>
      <c r="H5" t="s">
        <v>28</v>
      </c>
    </row>
    <row r="6" spans="1:8" x14ac:dyDescent="0.3">
      <c r="D6" s="4" t="s">
        <v>19</v>
      </c>
      <c r="E6" s="5">
        <v>1</v>
      </c>
      <c r="F6" s="5">
        <v>3</v>
      </c>
      <c r="G6" s="5">
        <v>8</v>
      </c>
      <c r="H6" s="5">
        <v>12</v>
      </c>
    </row>
    <row r="7" spans="1:8" x14ac:dyDescent="0.3">
      <c r="D7" s="4" t="s">
        <v>22</v>
      </c>
      <c r="E7" s="5">
        <v>7</v>
      </c>
      <c r="F7" s="5">
        <v>6</v>
      </c>
      <c r="G7" s="5">
        <v>9</v>
      </c>
      <c r="H7" s="5">
        <v>22</v>
      </c>
    </row>
    <row r="8" spans="1:8" x14ac:dyDescent="0.3">
      <c r="D8" s="4" t="s">
        <v>28</v>
      </c>
      <c r="E8" s="5">
        <v>8</v>
      </c>
      <c r="F8" s="5">
        <v>9</v>
      </c>
      <c r="G8" s="5">
        <v>17</v>
      </c>
      <c r="H8" s="5">
        <v>34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</vt:lpstr>
      <vt:lpstr>Lookup</vt:lpstr>
      <vt:lpstr>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solanki</dc:creator>
  <cp:lastModifiedBy>parth solanki</cp:lastModifiedBy>
  <dcterms:created xsi:type="dcterms:W3CDTF">2026-09-26T08:54:32Z</dcterms:created>
  <dcterms:modified xsi:type="dcterms:W3CDTF">2026-09-26T09:28:52Z</dcterms:modified>
</cp:coreProperties>
</file>